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</sheets>
  <definedNames/>
  <calcPr/>
</workbook>
</file>

<file path=xl/sharedStrings.xml><?xml version="1.0" encoding="utf-8"?>
<sst xmlns="http://schemas.openxmlformats.org/spreadsheetml/2006/main" count="208" uniqueCount="78">
  <si>
    <t>Producto</t>
  </si>
  <si>
    <t>Costo Compra</t>
  </si>
  <si>
    <t>Total Inventario</t>
  </si>
  <si>
    <t>Ventas</t>
  </si>
  <si>
    <t>Compras</t>
  </si>
  <si>
    <t>Total anterior (AUX)</t>
  </si>
  <si>
    <t>Costo Unitario Venta</t>
  </si>
  <si>
    <t>Precio Venta</t>
  </si>
  <si>
    <t>Ganancia Unidad</t>
  </si>
  <si>
    <t>% Ganancia</t>
  </si>
  <si>
    <t>Total Invertido Unidad</t>
  </si>
  <si>
    <t>Total Ganancia Unidad</t>
  </si>
  <si>
    <t>Semana</t>
  </si>
  <si>
    <t>Fecha</t>
  </si>
  <si>
    <t>Miel Pequeña Tabarcia 200g</t>
  </si>
  <si>
    <t>1375 unidad</t>
  </si>
  <si>
    <t>2026-W04</t>
  </si>
  <si>
    <t>Miel Mediana Tabarcia 500g</t>
  </si>
  <si>
    <t>2300 unidad</t>
  </si>
  <si>
    <t>Miel Grande Tabarcia 1050g</t>
  </si>
  <si>
    <t>4450 unidad</t>
  </si>
  <si>
    <t>Miel Pequeña Puriscal 210g</t>
  </si>
  <si>
    <t>1500 unidad</t>
  </si>
  <si>
    <t>Miel Mediana Puriscal 420g</t>
  </si>
  <si>
    <t>2750 unidad</t>
  </si>
  <si>
    <t>Miel Grande Puriscal 900g</t>
  </si>
  <si>
    <t>4750 unidad</t>
  </si>
  <si>
    <t>Carao Puro Pequeño 200ml</t>
  </si>
  <si>
    <t>1700 unidad</t>
  </si>
  <si>
    <t>Carao Puro Mediano 350ml</t>
  </si>
  <si>
    <t>2200 unidad</t>
  </si>
  <si>
    <t>Carao Puro Grande 750 ml</t>
  </si>
  <si>
    <t>3050 unidad</t>
  </si>
  <si>
    <t>Miel de Carao Pequeño 200ml</t>
  </si>
  <si>
    <t>Miel de Carao Mediano 350ml</t>
  </si>
  <si>
    <t>Miel de Carao Grande 750 ml</t>
  </si>
  <si>
    <t>Horchata 125g</t>
  </si>
  <si>
    <t>2260 kg</t>
  </si>
  <si>
    <t>Vinagre de Guineo</t>
  </si>
  <si>
    <t>500 unidad</t>
  </si>
  <si>
    <t>Vinagre Chilera</t>
  </si>
  <si>
    <t>700 unidad</t>
  </si>
  <si>
    <t>Vinagre Blanco</t>
  </si>
  <si>
    <t>Vinagre Oscuro</t>
  </si>
  <si>
    <t>Vinagre de Manzana 500ml</t>
  </si>
  <si>
    <t>927 unidad</t>
  </si>
  <si>
    <t>Vinagre de Manzana 1000ml</t>
  </si>
  <si>
    <t>1566 unidad</t>
  </si>
  <si>
    <t>Crema 125g</t>
  </si>
  <si>
    <t>Pinolillo 125g</t>
  </si>
  <si>
    <t>2345 kg</t>
  </si>
  <si>
    <t>Chia 100g</t>
  </si>
  <si>
    <t>4633 kg</t>
  </si>
  <si>
    <t>Chan 100g</t>
  </si>
  <si>
    <t>10000 kg</t>
  </si>
  <si>
    <t>Linaza 70g</t>
  </si>
  <si>
    <t>1642 kg</t>
  </si>
  <si>
    <t>Cúrcuma molida 60g</t>
  </si>
  <si>
    <t>3045 kg</t>
  </si>
  <si>
    <t>Clavo de olor 15g</t>
  </si>
  <si>
    <t>14695 kg</t>
  </si>
  <si>
    <t>Jamaica 70g</t>
  </si>
  <si>
    <t>7175 kg</t>
  </si>
  <si>
    <t>Canela en astilla 14g</t>
  </si>
  <si>
    <t>14973 kg</t>
  </si>
  <si>
    <t>Canela en polvo 46g</t>
  </si>
  <si>
    <t>5368 kg</t>
  </si>
  <si>
    <t>Hojas de Laurel 14g</t>
  </si>
  <si>
    <t>9011 kg</t>
  </si>
  <si>
    <t>Achiote Pequeño 100g</t>
  </si>
  <si>
    <t>250 unidad</t>
  </si>
  <si>
    <t>Achiote Grande 250g</t>
  </si>
  <si>
    <t>750 unidad</t>
  </si>
  <si>
    <t>Canasta mediana</t>
  </si>
  <si>
    <t>2000 unidad</t>
  </si>
  <si>
    <t>Arándanos</t>
  </si>
  <si>
    <t>1200 unidad</t>
  </si>
  <si>
    <t>2026-W05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</si>
</sst>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shrinkToFit="0" vertical="bottom" wrapText="1"/>
    </xf>
    <xf borderId="0" fillId="0" fontId="3" numFmtId="4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5.0</v>
      </c>
      <c r="D2" s="2">
        <v>3.0</v>
      </c>
      <c r="F2" s="2">
        <v>5.0</v>
      </c>
      <c r="G2" s="3">
        <v>1375.0</v>
      </c>
      <c r="H2" s="3">
        <v>2500.0</v>
      </c>
      <c r="I2" s="3">
        <v>1125.0</v>
      </c>
      <c r="J2" s="4">
        <v>0.8182</v>
      </c>
      <c r="K2" s="3">
        <v>4125.0</v>
      </c>
      <c r="L2" s="3">
        <v>3375.0</v>
      </c>
      <c r="M2" s="2" t="s">
        <v>16</v>
      </c>
      <c r="N2" s="5">
        <v>46041.0</v>
      </c>
    </row>
    <row r="3">
      <c r="A3" s="6" t="s">
        <v>17</v>
      </c>
      <c r="B3" s="7" t="s">
        <v>18</v>
      </c>
      <c r="C3" s="8">
        <v>0.0</v>
      </c>
      <c r="D3" s="9">
        <v>0.0</v>
      </c>
      <c r="E3" s="10"/>
      <c r="F3" s="9">
        <v>3.0</v>
      </c>
      <c r="G3" s="11">
        <v>2300.0</v>
      </c>
      <c r="H3" s="11">
        <v>4000.0</v>
      </c>
      <c r="I3" s="12">
        <f t="shared" ref="I3:I4" si="1">H3-G3</f>
        <v>1700</v>
      </c>
      <c r="J3" s="13">
        <f t="shared" ref="J3:J4" si="2">I3/G3</f>
        <v>0.7391304348</v>
      </c>
      <c r="K3" s="12">
        <f t="shared" ref="K3:K4" si="3">D3*G3</f>
        <v>0</v>
      </c>
      <c r="L3" s="12">
        <f t="shared" ref="L3:L4" si="4">D3*I3</f>
        <v>0</v>
      </c>
      <c r="M3" s="14" t="str">
        <f t="shared" ref="M3:M4" si="5">YEAR(N3)&amp;"-W"&amp;TEXT(ISOWEEKNUM(N3),"00")</f>
        <v>2026-W04</v>
      </c>
      <c r="N3" s="5">
        <v>46041.0</v>
      </c>
    </row>
    <row r="4">
      <c r="A4" s="6" t="s">
        <v>19</v>
      </c>
      <c r="B4" s="7" t="s">
        <v>20</v>
      </c>
      <c r="C4" s="8">
        <v>0.0</v>
      </c>
      <c r="D4" s="9">
        <v>0.0</v>
      </c>
      <c r="E4" s="10"/>
      <c r="F4" s="9">
        <v>2.0</v>
      </c>
      <c r="G4" s="11">
        <v>4450.0</v>
      </c>
      <c r="H4" s="11">
        <v>6000.0</v>
      </c>
      <c r="I4" s="12">
        <f t="shared" si="1"/>
        <v>1550</v>
      </c>
      <c r="J4" s="13">
        <f t="shared" si="2"/>
        <v>0.3483146067</v>
      </c>
      <c r="K4" s="12">
        <f t="shared" si="3"/>
        <v>0</v>
      </c>
      <c r="L4" s="12">
        <f t="shared" si="4"/>
        <v>0</v>
      </c>
      <c r="M4" s="14" t="str">
        <f t="shared" si="5"/>
        <v>2026-W04</v>
      </c>
      <c r="N4" s="5">
        <v>46041.0</v>
      </c>
    </row>
    <row r="5">
      <c r="A5" s="2" t="s">
        <v>21</v>
      </c>
      <c r="B5" s="2" t="s">
        <v>22</v>
      </c>
      <c r="C5" s="2">
        <v>1.0</v>
      </c>
      <c r="D5" s="2">
        <v>1.0</v>
      </c>
      <c r="F5" s="2">
        <v>1.0</v>
      </c>
      <c r="G5" s="3">
        <v>1500.0</v>
      </c>
      <c r="H5" s="3">
        <v>3000.0</v>
      </c>
      <c r="I5" s="3">
        <v>1500.0</v>
      </c>
      <c r="J5" s="4">
        <v>1.0</v>
      </c>
      <c r="K5" s="3">
        <v>1500.0</v>
      </c>
      <c r="L5" s="3">
        <v>1500.0</v>
      </c>
      <c r="M5" s="2" t="s">
        <v>16</v>
      </c>
      <c r="N5" s="5">
        <v>46041.0</v>
      </c>
    </row>
    <row r="6">
      <c r="A6" s="2" t="s">
        <v>23</v>
      </c>
      <c r="B6" s="2" t="s">
        <v>24</v>
      </c>
      <c r="C6" s="2">
        <v>1.0</v>
      </c>
      <c r="D6" s="2">
        <v>1.0</v>
      </c>
      <c r="F6" s="2">
        <v>1.0</v>
      </c>
      <c r="G6" s="3">
        <v>2750.0</v>
      </c>
      <c r="H6" s="3">
        <v>4000.0</v>
      </c>
      <c r="I6" s="3">
        <v>1250.0</v>
      </c>
      <c r="J6" s="4">
        <v>0.4545</v>
      </c>
      <c r="K6" s="3">
        <v>2750.0</v>
      </c>
      <c r="L6" s="3">
        <v>1250.0</v>
      </c>
      <c r="M6" s="2" t="s">
        <v>16</v>
      </c>
      <c r="N6" s="5">
        <v>46041.0</v>
      </c>
    </row>
    <row r="7">
      <c r="A7" s="2" t="s">
        <v>25</v>
      </c>
      <c r="B7" s="2" t="s">
        <v>26</v>
      </c>
      <c r="C7" s="2">
        <v>0.0</v>
      </c>
      <c r="D7" s="2">
        <v>2.0</v>
      </c>
      <c r="F7" s="2">
        <v>0.0</v>
      </c>
      <c r="G7" s="3">
        <v>4750.0</v>
      </c>
      <c r="H7" s="3">
        <v>6500.0</v>
      </c>
      <c r="I7" s="3">
        <v>1750.0</v>
      </c>
      <c r="J7" s="4">
        <v>0.3684</v>
      </c>
      <c r="K7" s="3">
        <v>9500.0</v>
      </c>
      <c r="L7" s="3">
        <v>3500.0</v>
      </c>
      <c r="M7" s="2" t="s">
        <v>16</v>
      </c>
      <c r="N7" s="5">
        <v>46041.0</v>
      </c>
    </row>
    <row r="8">
      <c r="A8" s="2" t="s">
        <v>27</v>
      </c>
      <c r="B8" s="2" t="s">
        <v>28</v>
      </c>
      <c r="C8" s="2">
        <v>5.0</v>
      </c>
      <c r="D8" s="2">
        <v>0.0</v>
      </c>
      <c r="F8" s="2">
        <v>5.0</v>
      </c>
      <c r="G8" s="3">
        <v>1700.0</v>
      </c>
      <c r="H8" s="3">
        <v>3500.0</v>
      </c>
      <c r="I8" s="3">
        <v>1800.0</v>
      </c>
      <c r="J8" s="4">
        <v>1.0588</v>
      </c>
      <c r="K8" s="2">
        <v>0.0</v>
      </c>
      <c r="L8" s="2">
        <v>0.0</v>
      </c>
      <c r="M8" s="2" t="s">
        <v>16</v>
      </c>
      <c r="N8" s="5">
        <v>46041.0</v>
      </c>
    </row>
    <row r="9">
      <c r="A9" s="2" t="s">
        <v>29</v>
      </c>
      <c r="B9" s="2" t="s">
        <v>30</v>
      </c>
      <c r="C9" s="2">
        <v>3.0</v>
      </c>
      <c r="D9" s="2">
        <v>0.0</v>
      </c>
      <c r="F9" s="2">
        <v>3.0</v>
      </c>
      <c r="G9" s="3">
        <v>2200.0</v>
      </c>
      <c r="H9" s="3">
        <v>4500.0</v>
      </c>
      <c r="I9" s="3">
        <v>2300.0</v>
      </c>
      <c r="J9" s="4">
        <v>1.0455</v>
      </c>
      <c r="K9" s="2">
        <v>0.0</v>
      </c>
      <c r="L9" s="2">
        <v>0.0</v>
      </c>
      <c r="M9" s="2" t="s">
        <v>16</v>
      </c>
      <c r="N9" s="5">
        <v>46041.0</v>
      </c>
    </row>
    <row r="10">
      <c r="A10" s="2" t="s">
        <v>31</v>
      </c>
      <c r="B10" s="2" t="s">
        <v>32</v>
      </c>
      <c r="C10" s="2">
        <v>3.0</v>
      </c>
      <c r="D10" s="2">
        <v>0.0</v>
      </c>
      <c r="F10" s="2">
        <v>3.0</v>
      </c>
      <c r="G10" s="3">
        <v>3050.0</v>
      </c>
      <c r="H10" s="3">
        <v>5500.0</v>
      </c>
      <c r="I10" s="3">
        <v>2450.0</v>
      </c>
      <c r="J10" s="4">
        <v>0.8033</v>
      </c>
      <c r="K10" s="2">
        <v>0.0</v>
      </c>
      <c r="L10" s="2">
        <v>0.0</v>
      </c>
      <c r="M10" s="2" t="s">
        <v>16</v>
      </c>
      <c r="N10" s="5">
        <v>46041.0</v>
      </c>
    </row>
    <row r="11">
      <c r="A11" s="2" t="s">
        <v>33</v>
      </c>
      <c r="B11" s="2" t="s">
        <v>22</v>
      </c>
      <c r="C11" s="2">
        <v>4.0</v>
      </c>
      <c r="D11" s="2">
        <v>1.0</v>
      </c>
      <c r="F11" s="2">
        <v>4.0</v>
      </c>
      <c r="G11" s="3">
        <v>1500.0</v>
      </c>
      <c r="H11" s="3">
        <v>3000.0</v>
      </c>
      <c r="I11" s="3">
        <v>1500.0</v>
      </c>
      <c r="J11" s="4">
        <v>1.0</v>
      </c>
      <c r="K11" s="3">
        <v>1500.0</v>
      </c>
      <c r="L11" s="3">
        <v>1500.0</v>
      </c>
      <c r="M11" s="2" t="s">
        <v>16</v>
      </c>
      <c r="N11" s="5">
        <v>46041.0</v>
      </c>
    </row>
    <row r="12">
      <c r="A12" s="2" t="s">
        <v>34</v>
      </c>
      <c r="B12" s="2" t="s">
        <v>28</v>
      </c>
      <c r="C12" s="2">
        <v>2.0</v>
      </c>
      <c r="D12" s="2">
        <v>1.0</v>
      </c>
      <c r="F12" s="2">
        <v>2.0</v>
      </c>
      <c r="G12" s="3">
        <v>1700.0</v>
      </c>
      <c r="H12" s="3">
        <v>4000.0</v>
      </c>
      <c r="I12" s="3">
        <v>2300.0</v>
      </c>
      <c r="J12" s="4">
        <v>1.3529</v>
      </c>
      <c r="K12" s="3">
        <v>1700.0</v>
      </c>
      <c r="L12" s="3">
        <v>2300.0</v>
      </c>
      <c r="M12" s="2" t="s">
        <v>16</v>
      </c>
      <c r="N12" s="5">
        <v>46041.0</v>
      </c>
    </row>
    <row r="13">
      <c r="A13" s="2" t="s">
        <v>35</v>
      </c>
      <c r="B13" s="2" t="s">
        <v>30</v>
      </c>
      <c r="C13" s="2">
        <v>3.0</v>
      </c>
      <c r="D13" s="2">
        <v>0.0</v>
      </c>
      <c r="F13" s="2">
        <v>3.0</v>
      </c>
      <c r="G13" s="3">
        <v>2200.0</v>
      </c>
      <c r="H13" s="3">
        <v>5000.0</v>
      </c>
      <c r="I13" s="3">
        <v>2800.0</v>
      </c>
      <c r="J13" s="4">
        <v>1.2727</v>
      </c>
      <c r="K13" s="2">
        <v>0.0</v>
      </c>
      <c r="L13" s="2">
        <v>0.0</v>
      </c>
      <c r="M13" s="2" t="s">
        <v>16</v>
      </c>
      <c r="N13" s="5">
        <v>46041.0</v>
      </c>
    </row>
    <row r="14">
      <c r="A14" s="2" t="s">
        <v>36</v>
      </c>
      <c r="B14" s="2" t="s">
        <v>37</v>
      </c>
      <c r="C14" s="2">
        <v>0.0</v>
      </c>
      <c r="D14" s="2">
        <v>0.0</v>
      </c>
      <c r="F14" s="2">
        <v>0.0</v>
      </c>
      <c r="G14" s="2">
        <v>283.0</v>
      </c>
      <c r="H14" s="2">
        <v>800.0</v>
      </c>
      <c r="I14" s="2">
        <v>517.0</v>
      </c>
      <c r="J14" s="4">
        <v>1.8269</v>
      </c>
      <c r="K14" s="2">
        <v>0.0</v>
      </c>
      <c r="L14" s="2">
        <v>0.0</v>
      </c>
      <c r="M14" s="2" t="s">
        <v>16</v>
      </c>
      <c r="N14" s="5">
        <v>46041.0</v>
      </c>
    </row>
    <row r="15">
      <c r="A15" s="2" t="s">
        <v>38</v>
      </c>
      <c r="B15" s="2" t="s">
        <v>39</v>
      </c>
      <c r="C15" s="2">
        <v>10.0</v>
      </c>
      <c r="D15" s="2">
        <v>3.0</v>
      </c>
      <c r="F15" s="2">
        <v>10.0</v>
      </c>
      <c r="G15" s="2">
        <v>500.0</v>
      </c>
      <c r="H15" s="3">
        <v>1000.0</v>
      </c>
      <c r="I15" s="2">
        <v>500.0</v>
      </c>
      <c r="J15" s="4">
        <v>1.0</v>
      </c>
      <c r="K15" s="3">
        <v>1500.0</v>
      </c>
      <c r="L15" s="3">
        <v>1500.0</v>
      </c>
      <c r="M15" s="2" t="s">
        <v>16</v>
      </c>
      <c r="N15" s="5">
        <v>46041.0</v>
      </c>
    </row>
    <row r="16">
      <c r="A16" s="2" t="s">
        <v>40</v>
      </c>
      <c r="B16" s="2" t="s">
        <v>41</v>
      </c>
      <c r="C16" s="2">
        <v>7.0</v>
      </c>
      <c r="D16" s="2">
        <v>0.0</v>
      </c>
      <c r="F16" s="2">
        <v>7.0</v>
      </c>
      <c r="G16" s="2">
        <v>700.0</v>
      </c>
      <c r="H16" s="3">
        <v>1300.0</v>
      </c>
      <c r="I16" s="2">
        <v>600.0</v>
      </c>
      <c r="J16" s="4">
        <v>0.8571</v>
      </c>
      <c r="K16" s="2">
        <v>0.0</v>
      </c>
      <c r="L16" s="2">
        <v>0.0</v>
      </c>
      <c r="M16" s="2" t="s">
        <v>16</v>
      </c>
      <c r="N16" s="5">
        <v>46041.0</v>
      </c>
    </row>
    <row r="17">
      <c r="A17" s="2" t="s">
        <v>42</v>
      </c>
      <c r="B17" s="2">
        <v>497.0</v>
      </c>
      <c r="C17" s="2">
        <v>4.0</v>
      </c>
      <c r="D17" s="2">
        <v>1.0</v>
      </c>
      <c r="F17" s="2">
        <v>4.0</v>
      </c>
      <c r="G17" s="2">
        <v>497.0</v>
      </c>
      <c r="H17" s="3">
        <v>1000.0</v>
      </c>
      <c r="I17" s="2">
        <v>503.0</v>
      </c>
      <c r="J17" s="4">
        <v>1.0121</v>
      </c>
      <c r="K17" s="2">
        <v>497.0</v>
      </c>
      <c r="L17" s="2">
        <v>503.0</v>
      </c>
      <c r="M17" s="2" t="s">
        <v>16</v>
      </c>
      <c r="N17" s="5">
        <v>46041.0</v>
      </c>
    </row>
    <row r="18">
      <c r="A18" s="2" t="s">
        <v>43</v>
      </c>
      <c r="B18" s="2">
        <v>497.0</v>
      </c>
      <c r="C18" s="2">
        <v>5.0</v>
      </c>
      <c r="D18" s="2">
        <v>0.0</v>
      </c>
      <c r="F18" s="2">
        <v>5.0</v>
      </c>
      <c r="G18" s="2">
        <v>497.0</v>
      </c>
      <c r="H18" s="3">
        <v>1000.0</v>
      </c>
      <c r="I18" s="2">
        <v>503.0</v>
      </c>
      <c r="J18" s="4">
        <v>1.0121</v>
      </c>
      <c r="K18" s="2">
        <v>0.0</v>
      </c>
      <c r="L18" s="2">
        <v>0.0</v>
      </c>
      <c r="M18" s="2" t="s">
        <v>16</v>
      </c>
      <c r="N18" s="5">
        <v>46041.0</v>
      </c>
    </row>
    <row r="19">
      <c r="A19" s="2" t="s">
        <v>44</v>
      </c>
      <c r="B19" s="2" t="s">
        <v>45</v>
      </c>
      <c r="C19" s="2">
        <v>2.0</v>
      </c>
      <c r="D19" s="2">
        <v>2.0</v>
      </c>
      <c r="F19" s="2">
        <v>2.0</v>
      </c>
      <c r="G19" s="2">
        <v>927.0</v>
      </c>
      <c r="H19" s="3">
        <v>1300.0</v>
      </c>
      <c r="I19" s="2">
        <v>373.0</v>
      </c>
      <c r="J19" s="4">
        <v>0.4024</v>
      </c>
      <c r="K19" s="3">
        <v>1854.0</v>
      </c>
      <c r="L19" s="2">
        <v>746.0</v>
      </c>
      <c r="M19" s="2" t="s">
        <v>16</v>
      </c>
      <c r="N19" s="5">
        <v>46041.0</v>
      </c>
    </row>
    <row r="20">
      <c r="A20" s="2" t="s">
        <v>46</v>
      </c>
      <c r="B20" s="2" t="s">
        <v>47</v>
      </c>
      <c r="C20" s="2">
        <v>2.0</v>
      </c>
      <c r="D20" s="2">
        <v>0.0</v>
      </c>
      <c r="F20" s="2">
        <v>2.0</v>
      </c>
      <c r="G20" s="3">
        <v>1566.0</v>
      </c>
      <c r="H20" s="3">
        <v>2400.0</v>
      </c>
      <c r="I20" s="2">
        <v>834.0</v>
      </c>
      <c r="J20" s="4">
        <v>0.5326</v>
      </c>
      <c r="K20" s="2">
        <v>0.0</v>
      </c>
      <c r="L20" s="2">
        <v>0.0</v>
      </c>
      <c r="M20" s="2" t="s">
        <v>16</v>
      </c>
      <c r="N20" s="5">
        <v>46041.0</v>
      </c>
    </row>
    <row r="21">
      <c r="A21" s="2" t="s">
        <v>48</v>
      </c>
      <c r="B21" s="2" t="s">
        <v>37</v>
      </c>
      <c r="C21" s="2">
        <v>7.0</v>
      </c>
      <c r="D21" s="2">
        <v>0.0</v>
      </c>
      <c r="F21" s="2">
        <v>7.0</v>
      </c>
      <c r="G21" s="2">
        <v>283.0</v>
      </c>
      <c r="H21" s="2">
        <v>800.0</v>
      </c>
      <c r="I21" s="2">
        <v>517.0</v>
      </c>
      <c r="J21" s="4">
        <v>1.8269</v>
      </c>
      <c r="K21" s="2">
        <v>0.0</v>
      </c>
      <c r="L21" s="2">
        <v>0.0</v>
      </c>
      <c r="M21" s="2" t="s">
        <v>16</v>
      </c>
      <c r="N21" s="5">
        <v>46041.0</v>
      </c>
    </row>
    <row r="22">
      <c r="A22" s="6" t="s">
        <v>49</v>
      </c>
      <c r="B22" s="7" t="s">
        <v>50</v>
      </c>
      <c r="C22" s="8">
        <v>1.0</v>
      </c>
      <c r="D22" s="9">
        <v>0.0</v>
      </c>
      <c r="E22" s="10"/>
      <c r="F22" s="9">
        <v>8.0</v>
      </c>
      <c r="G22" s="11">
        <v>294.0</v>
      </c>
      <c r="H22" s="11">
        <v>800.0</v>
      </c>
      <c r="I22" s="12">
        <f>H22-G22</f>
        <v>506</v>
      </c>
      <c r="J22" s="13">
        <f>I22/G22</f>
        <v>1.721088435</v>
      </c>
      <c r="K22" s="12">
        <f>D22*G22</f>
        <v>0</v>
      </c>
      <c r="L22" s="12">
        <f>D22*I22</f>
        <v>0</v>
      </c>
      <c r="M22" s="14" t="str">
        <f>YEAR(N22)&amp;"-W"&amp;TEXT(ISOWEEKNUM(N22),"00")</f>
        <v>2026-W04</v>
      </c>
      <c r="N22" s="5">
        <v>46041.0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2" t="s">
        <v>51</v>
      </c>
      <c r="B23" s="2" t="s">
        <v>52</v>
      </c>
      <c r="C23" s="2">
        <v>7.0</v>
      </c>
      <c r="D23" s="2">
        <v>6.0</v>
      </c>
      <c r="F23" s="2">
        <v>7.0</v>
      </c>
      <c r="G23" s="2">
        <v>464.0</v>
      </c>
      <c r="H23" s="3">
        <v>1000.0</v>
      </c>
      <c r="I23" s="2">
        <v>536.0</v>
      </c>
      <c r="J23" s="4">
        <v>1.1552</v>
      </c>
      <c r="K23" s="3">
        <v>2784.0</v>
      </c>
      <c r="L23" s="3">
        <v>3216.0</v>
      </c>
      <c r="M23" s="2" t="s">
        <v>16</v>
      </c>
      <c r="N23" s="5">
        <v>46041.0</v>
      </c>
    </row>
    <row r="24">
      <c r="A24" s="2" t="s">
        <v>53</v>
      </c>
      <c r="B24" s="2" t="s">
        <v>54</v>
      </c>
      <c r="C24" s="2">
        <v>15.0</v>
      </c>
      <c r="D24" s="2">
        <v>5.0</v>
      </c>
      <c r="F24" s="2">
        <v>15.0</v>
      </c>
      <c r="G24" s="2">
        <v>500.0</v>
      </c>
      <c r="H24" s="3">
        <v>1000.0</v>
      </c>
      <c r="I24" s="2">
        <v>500.0</v>
      </c>
      <c r="J24" s="4">
        <v>1.0</v>
      </c>
      <c r="K24" s="3">
        <v>2500.0</v>
      </c>
      <c r="L24" s="3">
        <v>2500.0</v>
      </c>
      <c r="M24" s="2" t="s">
        <v>16</v>
      </c>
      <c r="N24" s="5">
        <v>46041.0</v>
      </c>
    </row>
    <row r="25">
      <c r="A25" s="2" t="s">
        <v>55</v>
      </c>
      <c r="B25" s="2" t="s">
        <v>56</v>
      </c>
      <c r="C25" s="2">
        <v>12.0</v>
      </c>
      <c r="D25" s="2">
        <v>5.0</v>
      </c>
      <c r="F25" s="2">
        <v>12.0</v>
      </c>
      <c r="G25" s="2">
        <v>115.0</v>
      </c>
      <c r="H25" s="2">
        <v>500.0</v>
      </c>
      <c r="I25" s="2">
        <v>385.0</v>
      </c>
      <c r="J25" s="4">
        <v>3.3478</v>
      </c>
      <c r="K25" s="2">
        <v>575.0</v>
      </c>
      <c r="L25" s="3">
        <v>1925.0</v>
      </c>
      <c r="M25" s="2" t="s">
        <v>16</v>
      </c>
      <c r="N25" s="5">
        <v>46041.0</v>
      </c>
    </row>
    <row r="26">
      <c r="A26" s="2" t="s">
        <v>57</v>
      </c>
      <c r="B26" s="2" t="s">
        <v>58</v>
      </c>
      <c r="C26" s="2">
        <v>16.0</v>
      </c>
      <c r="D26" s="2">
        <v>4.0</v>
      </c>
      <c r="F26" s="2">
        <v>16.0</v>
      </c>
      <c r="G26" s="2">
        <v>183.0</v>
      </c>
      <c r="H26" s="2">
        <v>500.0</v>
      </c>
      <c r="I26" s="2">
        <v>317.0</v>
      </c>
      <c r="J26" s="4">
        <v>1.7322</v>
      </c>
      <c r="K26" s="2">
        <v>732.0</v>
      </c>
      <c r="L26" s="3">
        <v>1268.0</v>
      </c>
      <c r="M26" s="2" t="s">
        <v>16</v>
      </c>
      <c r="N26" s="5">
        <v>46041.0</v>
      </c>
    </row>
    <row r="27">
      <c r="A27" s="2" t="s">
        <v>59</v>
      </c>
      <c r="B27" s="2" t="s">
        <v>60</v>
      </c>
      <c r="C27" s="2">
        <v>23.0</v>
      </c>
      <c r="D27" s="2">
        <v>4.0</v>
      </c>
      <c r="F27" s="2">
        <v>23.0</v>
      </c>
      <c r="G27" s="2">
        <v>221.0</v>
      </c>
      <c r="H27" s="2">
        <v>500.0</v>
      </c>
      <c r="I27" s="2">
        <v>279.0</v>
      </c>
      <c r="J27" s="4">
        <v>1.2624</v>
      </c>
      <c r="K27" s="2">
        <v>884.0</v>
      </c>
      <c r="L27" s="3">
        <v>1116.0</v>
      </c>
      <c r="M27" s="2" t="s">
        <v>16</v>
      </c>
      <c r="N27" s="5">
        <v>46041.0</v>
      </c>
    </row>
    <row r="28">
      <c r="A28" s="2" t="s">
        <v>61</v>
      </c>
      <c r="B28" s="2" t="s">
        <v>62</v>
      </c>
      <c r="C28" s="2">
        <v>12.0</v>
      </c>
      <c r="D28" s="2">
        <v>5.0</v>
      </c>
      <c r="F28" s="2">
        <v>12.0</v>
      </c>
      <c r="G28" s="2">
        <v>503.0</v>
      </c>
      <c r="H28" s="3">
        <v>1000.0</v>
      </c>
      <c r="I28" s="2">
        <v>497.0</v>
      </c>
      <c r="J28" s="4">
        <v>0.9881</v>
      </c>
      <c r="K28" s="3">
        <v>2515.0</v>
      </c>
      <c r="L28" s="3">
        <v>2485.0</v>
      </c>
      <c r="M28" s="2" t="s">
        <v>16</v>
      </c>
      <c r="N28" s="5">
        <v>46041.0</v>
      </c>
    </row>
    <row r="29">
      <c r="A29" s="2" t="s">
        <v>63</v>
      </c>
      <c r="B29" s="2" t="s">
        <v>64</v>
      </c>
      <c r="C29" s="2">
        <v>13.0</v>
      </c>
      <c r="D29" s="2">
        <v>10.0</v>
      </c>
      <c r="F29" s="2">
        <v>13.0</v>
      </c>
      <c r="G29" s="2">
        <v>210.0</v>
      </c>
      <c r="H29" s="2">
        <v>500.0</v>
      </c>
      <c r="I29" s="2">
        <v>290.0</v>
      </c>
      <c r="J29" s="4">
        <v>1.381</v>
      </c>
      <c r="K29" s="3">
        <v>2100.0</v>
      </c>
      <c r="L29" s="3">
        <v>2900.0</v>
      </c>
      <c r="M29" s="2" t="s">
        <v>16</v>
      </c>
      <c r="N29" s="5">
        <v>46041.0</v>
      </c>
    </row>
    <row r="30">
      <c r="A30" s="2" t="s">
        <v>65</v>
      </c>
      <c r="B30" s="2" t="s">
        <v>66</v>
      </c>
      <c r="C30" s="2">
        <v>15.0</v>
      </c>
      <c r="D30" s="2">
        <v>0.0</v>
      </c>
      <c r="F30" s="2">
        <v>15.0</v>
      </c>
      <c r="G30" s="2">
        <v>269.0</v>
      </c>
      <c r="H30" s="2">
        <v>500.0</v>
      </c>
      <c r="I30" s="2">
        <v>231.0</v>
      </c>
      <c r="J30" s="4">
        <v>0.8587</v>
      </c>
      <c r="K30" s="2">
        <v>0.0</v>
      </c>
      <c r="L30" s="2">
        <v>0.0</v>
      </c>
      <c r="M30" s="2" t="s">
        <v>16</v>
      </c>
      <c r="N30" s="5">
        <v>46041.0</v>
      </c>
    </row>
    <row r="31">
      <c r="A31" s="2" t="s">
        <v>67</v>
      </c>
      <c r="B31" s="2" t="s">
        <v>68</v>
      </c>
      <c r="C31" s="2">
        <v>7.0</v>
      </c>
      <c r="D31" s="2">
        <v>6.0</v>
      </c>
      <c r="F31" s="2">
        <v>7.0</v>
      </c>
      <c r="G31" s="2">
        <v>127.0</v>
      </c>
      <c r="H31" s="2">
        <v>500.0</v>
      </c>
      <c r="I31" s="2">
        <v>373.0</v>
      </c>
      <c r="J31" s="4">
        <v>2.937</v>
      </c>
      <c r="K31" s="2">
        <v>762.0</v>
      </c>
      <c r="L31" s="3">
        <v>2238.0</v>
      </c>
      <c r="M31" s="2" t="s">
        <v>16</v>
      </c>
      <c r="N31" s="5">
        <v>46041.0</v>
      </c>
    </row>
    <row r="32">
      <c r="A32" s="2" t="s">
        <v>69</v>
      </c>
      <c r="B32" s="2" t="s">
        <v>70</v>
      </c>
      <c r="C32" s="2">
        <v>5.0</v>
      </c>
      <c r="D32" s="2">
        <v>3.0</v>
      </c>
      <c r="F32" s="2">
        <v>5.0</v>
      </c>
      <c r="G32" s="2">
        <v>250.0</v>
      </c>
      <c r="H32" s="2">
        <v>600.0</v>
      </c>
      <c r="I32" s="2">
        <v>350.0</v>
      </c>
      <c r="J32" s="4">
        <v>1.4</v>
      </c>
      <c r="K32" s="2">
        <v>750.0</v>
      </c>
      <c r="L32" s="3">
        <v>1050.0</v>
      </c>
      <c r="M32" s="2" t="s">
        <v>16</v>
      </c>
      <c r="N32" s="5">
        <v>46041.0</v>
      </c>
    </row>
    <row r="33">
      <c r="A33" s="2" t="s">
        <v>71</v>
      </c>
      <c r="B33" s="2" t="s">
        <v>72</v>
      </c>
      <c r="C33" s="2">
        <v>7.0</v>
      </c>
      <c r="D33" s="2">
        <v>5.0</v>
      </c>
      <c r="F33" s="2">
        <v>7.0</v>
      </c>
      <c r="G33" s="2">
        <v>750.0</v>
      </c>
      <c r="H33" s="3">
        <v>1300.0</v>
      </c>
      <c r="I33" s="2">
        <v>550.0</v>
      </c>
      <c r="J33" s="4">
        <v>0.7333</v>
      </c>
      <c r="K33" s="3">
        <v>3750.0</v>
      </c>
      <c r="L33" s="3">
        <v>2750.0</v>
      </c>
      <c r="M33" s="2" t="s">
        <v>16</v>
      </c>
      <c r="N33" s="5">
        <v>46041.0</v>
      </c>
    </row>
    <row r="34">
      <c r="A34" s="2" t="s">
        <v>73</v>
      </c>
      <c r="B34" s="2" t="s">
        <v>74</v>
      </c>
      <c r="C34" s="2">
        <v>5.0</v>
      </c>
      <c r="D34" s="2">
        <v>0.0</v>
      </c>
      <c r="F34" s="2">
        <v>5.0</v>
      </c>
      <c r="G34" s="3">
        <v>2000.0</v>
      </c>
      <c r="H34" s="3">
        <v>3500.0</v>
      </c>
      <c r="I34" s="3">
        <v>1500.0</v>
      </c>
      <c r="J34" s="4">
        <v>0.75</v>
      </c>
      <c r="K34" s="2">
        <v>0.0</v>
      </c>
      <c r="L34" s="2">
        <v>0.0</v>
      </c>
      <c r="M34" s="2" t="s">
        <v>16</v>
      </c>
      <c r="N34" s="5">
        <v>46041.0</v>
      </c>
    </row>
    <row r="35">
      <c r="A35" s="2" t="s">
        <v>75</v>
      </c>
      <c r="B35" s="2" t="s">
        <v>76</v>
      </c>
      <c r="C35" s="2">
        <v>5.0</v>
      </c>
      <c r="D35" s="2">
        <v>7.0</v>
      </c>
      <c r="F35" s="2">
        <v>5.0</v>
      </c>
      <c r="G35" s="3">
        <v>1200.0</v>
      </c>
      <c r="H35" s="3">
        <v>1800.0</v>
      </c>
      <c r="I35" s="2">
        <v>600.0</v>
      </c>
      <c r="J35" s="4">
        <v>0.5</v>
      </c>
      <c r="K35" s="3">
        <v>8400.0</v>
      </c>
      <c r="L35" s="3">
        <v>4200.0</v>
      </c>
      <c r="M35" s="2" t="s">
        <v>16</v>
      </c>
      <c r="N35" s="5">
        <v>46041.0</v>
      </c>
    </row>
    <row r="36">
      <c r="A36" s="2" t="s">
        <v>14</v>
      </c>
      <c r="B36" s="2" t="s">
        <v>15</v>
      </c>
      <c r="C36" s="2">
        <v>3.0</v>
      </c>
      <c r="D36" s="2">
        <v>2.0</v>
      </c>
      <c r="F36" s="2">
        <v>3.0</v>
      </c>
      <c r="G36" s="3">
        <v>1375.0</v>
      </c>
      <c r="H36" s="3">
        <v>2500.0</v>
      </c>
      <c r="I36" s="3">
        <v>1125.0</v>
      </c>
      <c r="J36" s="4">
        <v>0.8182</v>
      </c>
      <c r="K36" s="3">
        <v>2750.0</v>
      </c>
      <c r="L36" s="3">
        <v>2250.0</v>
      </c>
      <c r="M36" s="2" t="s">
        <v>77</v>
      </c>
      <c r="N36" s="5">
        <v>46048.0</v>
      </c>
    </row>
    <row r="37">
      <c r="A37" s="6" t="s">
        <v>17</v>
      </c>
      <c r="B37" s="7" t="s">
        <v>18</v>
      </c>
      <c r="C37" s="8">
        <v>0.0</v>
      </c>
      <c r="D37" s="9">
        <v>0.0</v>
      </c>
      <c r="E37" s="10"/>
      <c r="F37" s="9">
        <v>3.0</v>
      </c>
      <c r="G37" s="11">
        <v>2300.0</v>
      </c>
      <c r="H37" s="11">
        <v>4000.0</v>
      </c>
      <c r="I37" s="12">
        <f t="shared" ref="I37:I38" si="6">H37-G37</f>
        <v>1700</v>
      </c>
      <c r="J37" s="13">
        <f t="shared" ref="J37:J38" si="7">I37/G37</f>
        <v>0.7391304348</v>
      </c>
      <c r="K37" s="12">
        <f t="shared" ref="K37:K38" si="8">D37*G37</f>
        <v>0</v>
      </c>
      <c r="L37" s="12">
        <f t="shared" ref="L37:L38" si="9">D37*I37</f>
        <v>0</v>
      </c>
      <c r="M37" s="14" t="str">
        <f t="shared" ref="M37:M38" si="10">YEAR(N37)&amp;"-W"&amp;TEXT(ISOWEEKNUM(N37),"00")</f>
        <v>2026-W05</v>
      </c>
      <c r="N37" s="5">
        <v>46048.0</v>
      </c>
    </row>
    <row r="38">
      <c r="A38" s="6" t="s">
        <v>19</v>
      </c>
      <c r="B38" s="7" t="s">
        <v>20</v>
      </c>
      <c r="C38" s="8">
        <v>0.0</v>
      </c>
      <c r="D38" s="9">
        <v>0.0</v>
      </c>
      <c r="E38" s="10"/>
      <c r="F38" s="9">
        <v>2.0</v>
      </c>
      <c r="G38" s="11">
        <v>4450.0</v>
      </c>
      <c r="H38" s="11">
        <v>6000.0</v>
      </c>
      <c r="I38" s="12">
        <f t="shared" si="6"/>
        <v>1550</v>
      </c>
      <c r="J38" s="13">
        <f t="shared" si="7"/>
        <v>0.3483146067</v>
      </c>
      <c r="K38" s="12">
        <f t="shared" si="8"/>
        <v>0</v>
      </c>
      <c r="L38" s="12">
        <f t="shared" si="9"/>
        <v>0</v>
      </c>
      <c r="M38" s="14" t="str">
        <f t="shared" si="10"/>
        <v>2026-W05</v>
      </c>
      <c r="N38" s="5">
        <v>46048.0</v>
      </c>
    </row>
    <row r="39">
      <c r="A39" s="2" t="s">
        <v>21</v>
      </c>
      <c r="B39" s="2" t="s">
        <v>22</v>
      </c>
      <c r="C39" s="2">
        <v>3.0</v>
      </c>
      <c r="D39" s="2">
        <v>1.0</v>
      </c>
      <c r="F39" s="2">
        <v>3.0</v>
      </c>
      <c r="G39" s="3">
        <v>1500.0</v>
      </c>
      <c r="H39" s="3">
        <v>3000.0</v>
      </c>
      <c r="I39" s="3">
        <v>1500.0</v>
      </c>
      <c r="J39" s="4">
        <v>1.0</v>
      </c>
      <c r="K39" s="3">
        <v>1500.0</v>
      </c>
      <c r="L39" s="3">
        <v>1500.0</v>
      </c>
      <c r="M39" s="2" t="s">
        <v>77</v>
      </c>
      <c r="N39" s="5">
        <v>46048.0</v>
      </c>
    </row>
    <row r="40">
      <c r="A40" s="2" t="s">
        <v>23</v>
      </c>
      <c r="B40" s="2" t="s">
        <v>24</v>
      </c>
      <c r="C40" s="2">
        <v>4.0</v>
      </c>
      <c r="D40" s="2">
        <v>0.0</v>
      </c>
      <c r="F40" s="2">
        <v>4.0</v>
      </c>
      <c r="G40" s="3">
        <v>2750.0</v>
      </c>
      <c r="H40" s="3">
        <v>4000.0</v>
      </c>
      <c r="I40" s="3">
        <v>1250.0</v>
      </c>
      <c r="J40" s="4">
        <v>0.4545</v>
      </c>
      <c r="K40" s="2">
        <v>0.0</v>
      </c>
      <c r="L40" s="2">
        <v>0.0</v>
      </c>
      <c r="M40" s="2" t="s">
        <v>77</v>
      </c>
      <c r="N40" s="5">
        <v>46048.0</v>
      </c>
    </row>
    <row r="41">
      <c r="A41" s="2" t="s">
        <v>25</v>
      </c>
      <c r="B41" s="2" t="s">
        <v>26</v>
      </c>
      <c r="C41" s="2">
        <v>2.0</v>
      </c>
      <c r="D41" s="2">
        <v>1.0</v>
      </c>
      <c r="F41" s="2">
        <v>2.0</v>
      </c>
      <c r="G41" s="3">
        <v>4750.0</v>
      </c>
      <c r="H41" s="3">
        <v>6500.0</v>
      </c>
      <c r="I41" s="3">
        <v>1750.0</v>
      </c>
      <c r="J41" s="4">
        <v>0.3684</v>
      </c>
      <c r="K41" s="3">
        <v>4750.0</v>
      </c>
      <c r="L41" s="3">
        <v>1750.0</v>
      </c>
      <c r="M41" s="2" t="s">
        <v>77</v>
      </c>
      <c r="N41" s="5">
        <v>46048.0</v>
      </c>
    </row>
    <row r="42">
      <c r="A42" s="2" t="s">
        <v>27</v>
      </c>
      <c r="B42" s="2" t="s">
        <v>28</v>
      </c>
      <c r="C42" s="2">
        <v>4.0</v>
      </c>
      <c r="D42" s="2">
        <v>1.0</v>
      </c>
      <c r="F42" s="2">
        <v>4.0</v>
      </c>
      <c r="G42" s="3">
        <v>1700.0</v>
      </c>
      <c r="H42" s="3">
        <v>3500.0</v>
      </c>
      <c r="I42" s="3">
        <v>1800.0</v>
      </c>
      <c r="J42" s="4">
        <v>1.0588</v>
      </c>
      <c r="K42" s="3">
        <v>1700.0</v>
      </c>
      <c r="L42" s="3">
        <v>1800.0</v>
      </c>
      <c r="M42" s="2" t="s">
        <v>77</v>
      </c>
      <c r="N42" s="5">
        <v>46048.0</v>
      </c>
    </row>
    <row r="43">
      <c r="A43" s="2" t="s">
        <v>29</v>
      </c>
      <c r="B43" s="2" t="s">
        <v>30</v>
      </c>
      <c r="C43" s="2">
        <v>3.0</v>
      </c>
      <c r="D43" s="2">
        <v>0.0</v>
      </c>
      <c r="F43" s="2">
        <v>3.0</v>
      </c>
      <c r="G43" s="3">
        <v>2200.0</v>
      </c>
      <c r="H43" s="3">
        <v>4500.0</v>
      </c>
      <c r="I43" s="3">
        <v>2300.0</v>
      </c>
      <c r="J43" s="4">
        <v>1.0455</v>
      </c>
      <c r="K43" s="2">
        <v>0.0</v>
      </c>
      <c r="L43" s="2">
        <v>0.0</v>
      </c>
      <c r="M43" s="2" t="s">
        <v>77</v>
      </c>
      <c r="N43" s="5">
        <v>46048.0</v>
      </c>
    </row>
    <row r="44">
      <c r="A44" s="2" t="s">
        <v>31</v>
      </c>
      <c r="B44" s="2" t="s">
        <v>32</v>
      </c>
      <c r="C44" s="2">
        <v>0.0</v>
      </c>
      <c r="D44" s="2">
        <v>3.0</v>
      </c>
      <c r="F44" s="2">
        <v>0.0</v>
      </c>
      <c r="G44" s="3">
        <v>3050.0</v>
      </c>
      <c r="H44" s="3">
        <v>5500.0</v>
      </c>
      <c r="I44" s="3">
        <v>2450.0</v>
      </c>
      <c r="J44" s="4">
        <v>0.8033</v>
      </c>
      <c r="K44" s="3">
        <v>9150.0</v>
      </c>
      <c r="L44" s="3">
        <v>7350.0</v>
      </c>
      <c r="M44" s="2" t="s">
        <v>77</v>
      </c>
      <c r="N44" s="5">
        <v>46048.0</v>
      </c>
    </row>
    <row r="45">
      <c r="A45" s="2" t="s">
        <v>33</v>
      </c>
      <c r="B45" s="2" t="s">
        <v>22</v>
      </c>
      <c r="C45" s="2">
        <v>2.0</v>
      </c>
      <c r="D45" s="2">
        <v>2.0</v>
      </c>
      <c r="F45" s="2">
        <v>2.0</v>
      </c>
      <c r="G45" s="3">
        <v>1500.0</v>
      </c>
      <c r="H45" s="3">
        <v>3000.0</v>
      </c>
      <c r="I45" s="3">
        <v>1500.0</v>
      </c>
      <c r="J45" s="4">
        <v>1.0</v>
      </c>
      <c r="K45" s="3">
        <v>3000.0</v>
      </c>
      <c r="L45" s="3">
        <v>3000.0</v>
      </c>
      <c r="M45" s="2" t="s">
        <v>77</v>
      </c>
      <c r="N45" s="5">
        <v>46048.0</v>
      </c>
    </row>
    <row r="46">
      <c r="A46" s="2" t="s">
        <v>34</v>
      </c>
      <c r="B46" s="2" t="s">
        <v>28</v>
      </c>
      <c r="C46" s="2">
        <v>2.0</v>
      </c>
      <c r="D46" s="2">
        <v>0.0</v>
      </c>
      <c r="F46" s="2">
        <v>2.0</v>
      </c>
      <c r="G46" s="3">
        <v>1700.0</v>
      </c>
      <c r="H46" s="3">
        <v>4000.0</v>
      </c>
      <c r="I46" s="3">
        <v>2300.0</v>
      </c>
      <c r="J46" s="4">
        <v>1.3529</v>
      </c>
      <c r="K46" s="2">
        <v>0.0</v>
      </c>
      <c r="L46" s="2">
        <v>0.0</v>
      </c>
      <c r="M46" s="2" t="s">
        <v>77</v>
      </c>
      <c r="N46" s="5">
        <v>46048.0</v>
      </c>
    </row>
    <row r="47">
      <c r="A47" s="2" t="s">
        <v>35</v>
      </c>
      <c r="B47" s="2" t="s">
        <v>30</v>
      </c>
      <c r="C47" s="2">
        <v>3.0</v>
      </c>
      <c r="D47" s="2">
        <v>0.0</v>
      </c>
      <c r="F47" s="2">
        <v>3.0</v>
      </c>
      <c r="G47" s="3">
        <v>2200.0</v>
      </c>
      <c r="H47" s="3">
        <v>5000.0</v>
      </c>
      <c r="I47" s="3">
        <v>2800.0</v>
      </c>
      <c r="J47" s="4">
        <v>1.2727</v>
      </c>
      <c r="K47" s="2">
        <v>0.0</v>
      </c>
      <c r="L47" s="2">
        <v>0.0</v>
      </c>
      <c r="M47" s="2" t="s">
        <v>77</v>
      </c>
      <c r="N47" s="5">
        <v>46048.0</v>
      </c>
    </row>
    <row r="48">
      <c r="A48" s="2" t="s">
        <v>36</v>
      </c>
      <c r="B48" s="2" t="s">
        <v>37</v>
      </c>
      <c r="C48" s="2">
        <v>0.0</v>
      </c>
      <c r="D48" s="2">
        <v>0.0</v>
      </c>
      <c r="F48" s="2">
        <v>0.0</v>
      </c>
      <c r="G48" s="2">
        <v>283.0</v>
      </c>
      <c r="H48" s="2">
        <v>800.0</v>
      </c>
      <c r="I48" s="2">
        <v>517.0</v>
      </c>
      <c r="J48" s="4">
        <v>1.8269</v>
      </c>
      <c r="K48" s="2">
        <v>0.0</v>
      </c>
      <c r="L48" s="2">
        <v>0.0</v>
      </c>
      <c r="M48" s="2" t="s">
        <v>77</v>
      </c>
      <c r="N48" s="5">
        <v>46048.0</v>
      </c>
    </row>
    <row r="49">
      <c r="A49" s="2" t="s">
        <v>38</v>
      </c>
      <c r="B49" s="2" t="s">
        <v>39</v>
      </c>
      <c r="C49" s="2">
        <v>8.0</v>
      </c>
      <c r="D49" s="2">
        <v>2.0</v>
      </c>
      <c r="F49" s="2">
        <v>8.0</v>
      </c>
      <c r="G49" s="2">
        <v>500.0</v>
      </c>
      <c r="H49" s="3">
        <v>1000.0</v>
      </c>
      <c r="I49" s="2">
        <v>500.0</v>
      </c>
      <c r="J49" s="4">
        <v>1.0</v>
      </c>
      <c r="K49" s="3">
        <v>1000.0</v>
      </c>
      <c r="L49" s="3">
        <v>1000.0</v>
      </c>
      <c r="M49" s="2" t="s">
        <v>77</v>
      </c>
      <c r="N49" s="5">
        <v>46048.0</v>
      </c>
    </row>
    <row r="50">
      <c r="A50" s="2" t="s">
        <v>40</v>
      </c>
      <c r="B50" s="2" t="s">
        <v>41</v>
      </c>
      <c r="C50" s="2">
        <v>4.0</v>
      </c>
      <c r="D50" s="2">
        <v>3.0</v>
      </c>
      <c r="F50" s="2">
        <v>4.0</v>
      </c>
      <c r="G50" s="2">
        <v>700.0</v>
      </c>
      <c r="H50" s="3">
        <v>1300.0</v>
      </c>
      <c r="I50" s="2">
        <v>600.0</v>
      </c>
      <c r="J50" s="4">
        <v>0.8571</v>
      </c>
      <c r="K50" s="3">
        <v>2100.0</v>
      </c>
      <c r="L50" s="3">
        <v>1800.0</v>
      </c>
      <c r="M50" s="2" t="s">
        <v>77</v>
      </c>
      <c r="N50" s="5">
        <v>46048.0</v>
      </c>
    </row>
    <row r="51">
      <c r="A51" s="2" t="s">
        <v>42</v>
      </c>
      <c r="B51" s="2">
        <v>497.0</v>
      </c>
      <c r="C51" s="2">
        <v>4.0</v>
      </c>
      <c r="D51" s="2">
        <v>0.0</v>
      </c>
      <c r="F51" s="2">
        <v>4.0</v>
      </c>
      <c r="G51" s="2">
        <v>497.0</v>
      </c>
      <c r="H51" s="3">
        <v>1000.0</v>
      </c>
      <c r="I51" s="2">
        <v>503.0</v>
      </c>
      <c r="J51" s="4">
        <v>1.0121</v>
      </c>
      <c r="K51" s="2">
        <v>0.0</v>
      </c>
      <c r="L51" s="2">
        <v>0.0</v>
      </c>
      <c r="M51" s="2" t="s">
        <v>77</v>
      </c>
      <c r="N51" s="5">
        <v>46048.0</v>
      </c>
    </row>
    <row r="52">
      <c r="A52" s="2" t="s">
        <v>43</v>
      </c>
      <c r="B52" s="2">
        <v>497.0</v>
      </c>
      <c r="C52" s="2">
        <v>4.0</v>
      </c>
      <c r="D52" s="2">
        <v>1.0</v>
      </c>
      <c r="F52" s="2">
        <v>4.0</v>
      </c>
      <c r="G52" s="2">
        <v>497.0</v>
      </c>
      <c r="H52" s="3">
        <v>1000.0</v>
      </c>
      <c r="I52" s="2">
        <v>503.0</v>
      </c>
      <c r="J52" s="4">
        <v>1.0121</v>
      </c>
      <c r="K52" s="2">
        <v>497.0</v>
      </c>
      <c r="L52" s="2">
        <v>503.0</v>
      </c>
      <c r="M52" s="2" t="s">
        <v>77</v>
      </c>
      <c r="N52" s="5">
        <v>46048.0</v>
      </c>
    </row>
    <row r="53">
      <c r="A53" s="2" t="s">
        <v>44</v>
      </c>
      <c r="B53" s="2" t="s">
        <v>45</v>
      </c>
      <c r="C53" s="2">
        <v>2.0</v>
      </c>
      <c r="D53" s="2">
        <v>0.0</v>
      </c>
      <c r="F53" s="2">
        <v>2.0</v>
      </c>
      <c r="G53" s="2">
        <v>927.0</v>
      </c>
      <c r="H53" s="3">
        <v>1300.0</v>
      </c>
      <c r="I53" s="2">
        <v>373.0</v>
      </c>
      <c r="J53" s="4">
        <v>0.4024</v>
      </c>
      <c r="K53" s="2">
        <v>0.0</v>
      </c>
      <c r="L53" s="2">
        <v>0.0</v>
      </c>
      <c r="M53" s="2" t="s">
        <v>77</v>
      </c>
      <c r="N53" s="5">
        <v>46048.0</v>
      </c>
    </row>
    <row r="54">
      <c r="A54" s="2" t="s">
        <v>46</v>
      </c>
      <c r="B54" s="2" t="s">
        <v>47</v>
      </c>
      <c r="C54" s="2">
        <v>2.0</v>
      </c>
      <c r="D54" s="2">
        <v>0.0</v>
      </c>
      <c r="F54" s="2">
        <v>2.0</v>
      </c>
      <c r="G54" s="3">
        <v>1566.0</v>
      </c>
      <c r="H54" s="3">
        <v>2400.0</v>
      </c>
      <c r="I54" s="2">
        <v>834.0</v>
      </c>
      <c r="J54" s="4">
        <v>0.5326</v>
      </c>
      <c r="K54" s="2">
        <v>0.0</v>
      </c>
      <c r="L54" s="2">
        <v>0.0</v>
      </c>
      <c r="M54" s="2" t="s">
        <v>77</v>
      </c>
      <c r="N54" s="5">
        <v>46048.0</v>
      </c>
    </row>
    <row r="55">
      <c r="A55" s="2" t="s">
        <v>48</v>
      </c>
      <c r="B55" s="2" t="s">
        <v>37</v>
      </c>
      <c r="C55" s="2">
        <v>4.0</v>
      </c>
      <c r="D55" s="2">
        <v>3.0</v>
      </c>
      <c r="F55" s="2">
        <v>4.0</v>
      </c>
      <c r="G55" s="2">
        <v>283.0</v>
      </c>
      <c r="H55" s="2">
        <v>800.0</v>
      </c>
      <c r="I55" s="2">
        <v>517.0</v>
      </c>
      <c r="J55" s="4">
        <v>1.8269</v>
      </c>
      <c r="K55" s="2">
        <v>849.0</v>
      </c>
      <c r="L55" s="3">
        <v>1551.0</v>
      </c>
      <c r="M55" s="2" t="s">
        <v>77</v>
      </c>
      <c r="N55" s="5">
        <v>46048.0</v>
      </c>
    </row>
    <row r="56">
      <c r="A56" s="6" t="s">
        <v>49</v>
      </c>
      <c r="B56" s="16" t="s">
        <v>50</v>
      </c>
      <c r="C56" s="8">
        <v>1.0</v>
      </c>
      <c r="D56" s="9">
        <v>0.0</v>
      </c>
      <c r="E56" s="10"/>
      <c r="F56" s="9">
        <v>8.0</v>
      </c>
      <c r="G56" s="11">
        <v>294.0</v>
      </c>
      <c r="H56" s="11">
        <v>800.0</v>
      </c>
      <c r="I56" s="12">
        <f>H56-G56</f>
        <v>506</v>
      </c>
      <c r="J56" s="13">
        <f>I56/G56</f>
        <v>1.721088435</v>
      </c>
      <c r="K56" s="12">
        <f>D56*G56</f>
        <v>0</v>
      </c>
      <c r="L56" s="12">
        <f>D56*I56</f>
        <v>0</v>
      </c>
      <c r="M56" s="14" t="str">
        <f>YEAR(N56)&amp;"-W"&amp;TEXT(ISOWEEKNUM(N56),"00")</f>
        <v>2026-W05</v>
      </c>
      <c r="N56" s="5">
        <v>46048.0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2" t="s">
        <v>51</v>
      </c>
      <c r="B57" s="2" t="s">
        <v>52</v>
      </c>
      <c r="C57" s="2">
        <v>2.0</v>
      </c>
      <c r="D57" s="2">
        <v>5.0</v>
      </c>
      <c r="F57" s="2">
        <v>2.0</v>
      </c>
      <c r="G57" s="2">
        <v>464.0</v>
      </c>
      <c r="H57" s="3">
        <v>1000.0</v>
      </c>
      <c r="I57" s="2">
        <v>536.0</v>
      </c>
      <c r="J57" s="4">
        <v>1.1552</v>
      </c>
      <c r="K57" s="3">
        <v>2320.0</v>
      </c>
      <c r="L57" s="3">
        <v>2680.0</v>
      </c>
      <c r="M57" s="2" t="s">
        <v>77</v>
      </c>
      <c r="N57" s="5">
        <v>46048.0</v>
      </c>
    </row>
    <row r="58">
      <c r="A58" s="2" t="s">
        <v>53</v>
      </c>
      <c r="B58" s="2" t="s">
        <v>54</v>
      </c>
      <c r="C58" s="2">
        <v>28.0</v>
      </c>
      <c r="D58" s="2">
        <v>7.0</v>
      </c>
      <c r="F58" s="2">
        <v>28.0</v>
      </c>
      <c r="G58" s="2">
        <v>500.0</v>
      </c>
      <c r="H58" s="3">
        <v>1000.0</v>
      </c>
      <c r="I58" s="2">
        <v>500.0</v>
      </c>
      <c r="J58" s="4">
        <v>1.0</v>
      </c>
      <c r="K58" s="3">
        <v>3500.0</v>
      </c>
      <c r="L58" s="3">
        <v>3500.0</v>
      </c>
      <c r="M58" s="2" t="s">
        <v>77</v>
      </c>
      <c r="N58" s="5">
        <v>46048.0</v>
      </c>
    </row>
    <row r="59">
      <c r="A59" s="2" t="s">
        <v>55</v>
      </c>
      <c r="B59" s="2" t="s">
        <v>56</v>
      </c>
      <c r="C59" s="2">
        <v>20.0</v>
      </c>
      <c r="D59" s="2">
        <v>6.0</v>
      </c>
      <c r="F59" s="2">
        <v>20.0</v>
      </c>
      <c r="G59" s="2">
        <v>115.0</v>
      </c>
      <c r="H59" s="2">
        <v>500.0</v>
      </c>
      <c r="I59" s="2">
        <v>385.0</v>
      </c>
      <c r="J59" s="4">
        <v>3.3478</v>
      </c>
      <c r="K59" s="2">
        <v>690.0</v>
      </c>
      <c r="L59" s="3">
        <v>2310.0</v>
      </c>
      <c r="M59" s="2" t="s">
        <v>77</v>
      </c>
      <c r="N59" s="5">
        <v>46048.0</v>
      </c>
    </row>
    <row r="60">
      <c r="A60" s="2" t="s">
        <v>57</v>
      </c>
      <c r="B60" s="2" t="s">
        <v>58</v>
      </c>
      <c r="C60" s="2">
        <v>13.0</v>
      </c>
      <c r="D60" s="2">
        <v>3.0</v>
      </c>
      <c r="F60" s="2">
        <v>13.0</v>
      </c>
      <c r="G60" s="2">
        <v>183.0</v>
      </c>
      <c r="H60" s="2">
        <v>500.0</v>
      </c>
      <c r="I60" s="2">
        <v>317.0</v>
      </c>
      <c r="J60" s="4">
        <v>1.7322</v>
      </c>
      <c r="K60" s="2">
        <v>549.0</v>
      </c>
      <c r="L60" s="2">
        <v>951.0</v>
      </c>
      <c r="M60" s="2" t="s">
        <v>77</v>
      </c>
      <c r="N60" s="5">
        <v>46048.0</v>
      </c>
    </row>
    <row r="61">
      <c r="A61" s="2" t="s">
        <v>59</v>
      </c>
      <c r="B61" s="2" t="s">
        <v>60</v>
      </c>
      <c r="C61" s="2">
        <v>15.0</v>
      </c>
      <c r="D61" s="2">
        <v>8.0</v>
      </c>
      <c r="F61" s="2">
        <v>15.0</v>
      </c>
      <c r="G61" s="2">
        <v>221.0</v>
      </c>
      <c r="H61" s="2">
        <v>500.0</v>
      </c>
      <c r="I61" s="2">
        <v>279.0</v>
      </c>
      <c r="J61" s="4">
        <v>1.2624</v>
      </c>
      <c r="K61" s="3">
        <v>1768.0</v>
      </c>
      <c r="L61" s="3">
        <v>2232.0</v>
      </c>
      <c r="M61" s="2" t="s">
        <v>77</v>
      </c>
      <c r="N61" s="5">
        <v>46048.0</v>
      </c>
    </row>
    <row r="62">
      <c r="A62" s="2" t="s">
        <v>61</v>
      </c>
      <c r="B62" s="2" t="s">
        <v>62</v>
      </c>
      <c r="C62" s="2">
        <v>18.0</v>
      </c>
      <c r="D62" s="2">
        <v>8.0</v>
      </c>
      <c r="F62" s="2">
        <v>18.0</v>
      </c>
      <c r="G62" s="2">
        <v>503.0</v>
      </c>
      <c r="H62" s="3">
        <v>1000.0</v>
      </c>
      <c r="I62" s="2">
        <v>497.0</v>
      </c>
      <c r="J62" s="4">
        <v>0.9881</v>
      </c>
      <c r="K62" s="3">
        <v>4024.0</v>
      </c>
      <c r="L62" s="3">
        <v>3976.0</v>
      </c>
      <c r="M62" s="2" t="s">
        <v>77</v>
      </c>
      <c r="N62" s="5">
        <v>46048.0</v>
      </c>
    </row>
    <row r="63">
      <c r="A63" s="2" t="s">
        <v>63</v>
      </c>
      <c r="B63" s="2" t="s">
        <v>64</v>
      </c>
      <c r="C63" s="2">
        <v>72.0</v>
      </c>
      <c r="D63" s="2">
        <v>12.0</v>
      </c>
      <c r="F63" s="2">
        <v>72.0</v>
      </c>
      <c r="G63" s="2">
        <v>210.0</v>
      </c>
      <c r="H63" s="2">
        <v>500.0</v>
      </c>
      <c r="I63" s="2">
        <v>290.0</v>
      </c>
      <c r="J63" s="4">
        <v>1.381</v>
      </c>
      <c r="K63" s="3">
        <v>2520.0</v>
      </c>
      <c r="L63" s="3">
        <v>3480.0</v>
      </c>
      <c r="M63" s="2" t="s">
        <v>77</v>
      </c>
      <c r="N63" s="5">
        <v>46048.0</v>
      </c>
    </row>
    <row r="64">
      <c r="A64" s="2" t="s">
        <v>65</v>
      </c>
      <c r="B64" s="2" t="s">
        <v>66</v>
      </c>
      <c r="C64" s="2">
        <v>10.0</v>
      </c>
      <c r="D64" s="2">
        <v>5.0</v>
      </c>
      <c r="F64" s="2">
        <v>10.0</v>
      </c>
      <c r="G64" s="2">
        <v>269.0</v>
      </c>
      <c r="H64" s="2">
        <v>500.0</v>
      </c>
      <c r="I64" s="2">
        <v>231.0</v>
      </c>
      <c r="J64" s="4">
        <v>0.8587</v>
      </c>
      <c r="K64" s="3">
        <v>1345.0</v>
      </c>
      <c r="L64" s="3">
        <v>1155.0</v>
      </c>
      <c r="M64" s="2" t="s">
        <v>77</v>
      </c>
      <c r="N64" s="5">
        <v>46048.0</v>
      </c>
    </row>
    <row r="65">
      <c r="A65" s="2" t="s">
        <v>67</v>
      </c>
      <c r="B65" s="2" t="s">
        <v>68</v>
      </c>
      <c r="C65" s="2">
        <v>42.0</v>
      </c>
      <c r="D65" s="2">
        <v>1.0</v>
      </c>
      <c r="F65" s="2">
        <v>42.0</v>
      </c>
      <c r="G65" s="2">
        <v>127.0</v>
      </c>
      <c r="H65" s="2">
        <v>500.0</v>
      </c>
      <c r="I65" s="2">
        <v>373.0</v>
      </c>
      <c r="J65" s="4">
        <v>2.937</v>
      </c>
      <c r="K65" s="2">
        <v>127.0</v>
      </c>
      <c r="L65" s="2">
        <v>373.0</v>
      </c>
      <c r="M65" s="2" t="s">
        <v>77</v>
      </c>
      <c r="N65" s="5">
        <v>46048.0</v>
      </c>
    </row>
    <row r="66">
      <c r="A66" s="2" t="s">
        <v>69</v>
      </c>
      <c r="B66" s="2" t="s">
        <v>70</v>
      </c>
      <c r="C66" s="2">
        <v>6.0</v>
      </c>
      <c r="D66" s="2">
        <v>9.0</v>
      </c>
      <c r="F66" s="2">
        <v>6.0</v>
      </c>
      <c r="G66" s="2">
        <v>250.0</v>
      </c>
      <c r="H66" s="2">
        <v>600.0</v>
      </c>
      <c r="I66" s="2">
        <v>350.0</v>
      </c>
      <c r="J66" s="4">
        <v>1.4</v>
      </c>
      <c r="K66" s="3">
        <v>2250.0</v>
      </c>
      <c r="L66" s="3">
        <v>3150.0</v>
      </c>
      <c r="M66" s="2" t="s">
        <v>77</v>
      </c>
      <c r="N66" s="5">
        <v>46048.0</v>
      </c>
    </row>
    <row r="67">
      <c r="A67" s="2" t="s">
        <v>71</v>
      </c>
      <c r="B67" s="2" t="s">
        <v>72</v>
      </c>
      <c r="C67" s="2">
        <v>5.0</v>
      </c>
      <c r="D67" s="2">
        <v>2.0</v>
      </c>
      <c r="F67" s="2">
        <v>5.0</v>
      </c>
      <c r="G67" s="2">
        <v>750.0</v>
      </c>
      <c r="H67" s="3">
        <v>1300.0</v>
      </c>
      <c r="I67" s="2">
        <v>550.0</v>
      </c>
      <c r="J67" s="4">
        <v>0.7333</v>
      </c>
      <c r="K67" s="3">
        <v>1500.0</v>
      </c>
      <c r="L67" s="3">
        <v>1100.0</v>
      </c>
      <c r="M67" s="2" t="s">
        <v>77</v>
      </c>
      <c r="N67" s="5">
        <v>46048.0</v>
      </c>
    </row>
    <row r="68">
      <c r="A68" s="2" t="s">
        <v>73</v>
      </c>
      <c r="B68" s="2" t="s">
        <v>74</v>
      </c>
      <c r="C68" s="2">
        <v>4.0</v>
      </c>
      <c r="D68" s="2">
        <v>1.0</v>
      </c>
      <c r="F68" s="2">
        <v>4.0</v>
      </c>
      <c r="G68" s="3">
        <v>2000.0</v>
      </c>
      <c r="H68" s="3">
        <v>3500.0</v>
      </c>
      <c r="I68" s="3">
        <v>1500.0</v>
      </c>
      <c r="J68" s="4">
        <v>0.75</v>
      </c>
      <c r="K68" s="3">
        <v>2000.0</v>
      </c>
      <c r="L68" s="3">
        <v>1500.0</v>
      </c>
      <c r="M68" s="2" t="s">
        <v>77</v>
      </c>
      <c r="N68" s="5">
        <v>46048.0</v>
      </c>
    </row>
    <row r="69">
      <c r="A69" s="2" t="s">
        <v>75</v>
      </c>
      <c r="B69" s="2" t="s">
        <v>76</v>
      </c>
      <c r="C69" s="2">
        <v>3.0</v>
      </c>
      <c r="D69" s="2">
        <v>7.0</v>
      </c>
      <c r="F69" s="2">
        <v>3.0</v>
      </c>
      <c r="G69" s="3">
        <v>1200.0</v>
      </c>
      <c r="H69" s="3">
        <v>1800.0</v>
      </c>
      <c r="I69" s="2">
        <v>600.0</v>
      </c>
      <c r="J69" s="4">
        <v>0.5</v>
      </c>
      <c r="K69" s="3">
        <v>8400.0</v>
      </c>
      <c r="L69" s="3">
        <v>4200.0</v>
      </c>
      <c r="M69" s="2" t="s">
        <v>77</v>
      </c>
      <c r="N69" s="5">
        <v>46048.0</v>
      </c>
    </row>
  </sheetData>
  <drawing r:id="rId1"/>
</worksheet>
</file>