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<sst xmlns="http://schemas.openxmlformats.org/spreadsheetml/2006/main" count="6" uniqueCount="6">
  <si>
    <t>Cantidad Ingreso</t>
  </si>
  <si>
    <t>Semana</t>
  </si>
  <si>
    <t>Fecha</t>
  </si>
  <si>
    <t>Total Ingreso</t>
  </si>
  <si>
    <t>Total Ingreso Semana Previa</t>
  </si>
  <si>
    <t>Porcentaje Semana vs Semana  Previa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</si>
</sst>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0" fillId="2" fontId="3" numFmtId="164" xfId="0" applyAlignment="1" applyFill="1" applyFont="1" applyNumberFormat="1">
      <alignment horizontal="center" readingOrder="0" vertical="bottom"/>
    </xf>
    <xf borderId="0" fillId="2" fontId="2" numFmtId="4" xfId="0" applyAlignment="1" applyFill="1" applyFont="1" applyNumberFormat="1">
      <alignment horizontal="center" readingOrder="0"/>
    </xf>
    <xf borderId="0" fillId="2" fontId="3" numFmtId="4" xfId="0" applyAlignment="1" applyFill="1" applyFont="1" applyNumberFormat="1">
      <alignment horizontal="center" readingOrder="0" vertical="bottom"/>
    </xf>
    <xf borderId="0" fillId="0" fontId="3" numFmtId="10" xfId="0" applyAlignment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25"/>
    <col customWidth="1" min="4" max="4" width="27.0"/>
    <col customWidth="1" min="5" max="5" width="32.0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3" t="s">
        <v>4</v>
      </c>
      <c r="E2" s="4" t="s">
        <v>5</v>
      </c>
    </row>
    <row r="3">
      <c r="A3" s="5" t="str">
        <f t="shared" ref="A3:A15" si="1">YEAR(B3)&amp;"-W"&amp;TEXT(ISOWEEKNUM(B3),"00")</f>
        <v>2026-W15</v>
      </c>
      <c r="B3" s="6">
        <v>46118.0</v>
      </c>
      <c r="C3" s="7">
        <v>54400.0</v>
      </c>
      <c r="D3" s="8">
        <v>71000.0</v>
      </c>
      <c r="E3" s="9">
        <f t="shared" ref="E3:E15" si="2">IF(D3=0, "", (C3 - D3) / D3)</f>
        <v>-0.2338028169</v>
      </c>
    </row>
    <row r="4">
      <c r="A4" s="5" t="str">
        <f t="shared" si="1"/>
        <v>2026-W16</v>
      </c>
      <c r="B4" s="6">
        <v>46125.0</v>
      </c>
      <c r="C4" s="7">
        <v>113900.0</v>
      </c>
      <c r="D4" s="8">
        <f t="shared" ref="D4:D15" si="3">C3</f>
        <v>54400</v>
      </c>
      <c r="E4" s="9">
        <f t="shared" si="2"/>
        <v>1.09375</v>
      </c>
    </row>
    <row r="5">
      <c r="A5" s="5" t="str">
        <f t="shared" si="1"/>
        <v>2026-W17</v>
      </c>
      <c r="B5" s="6">
        <v>46132.0</v>
      </c>
      <c r="C5" s="7">
        <v>77000.0</v>
      </c>
      <c r="D5" s="8">
        <f t="shared" si="3"/>
        <v>113900</v>
      </c>
      <c r="E5" s="9">
        <f t="shared" si="2"/>
        <v>-0.3239683933</v>
      </c>
    </row>
    <row r="6">
      <c r="A6" s="5" t="str">
        <f t="shared" si="1"/>
        <v>2026-W18</v>
      </c>
      <c r="B6" s="6">
        <v>46139.0</v>
      </c>
      <c r="C6" s="7">
        <v>84600.0</v>
      </c>
      <c r="D6" s="8">
        <f t="shared" si="3"/>
        <v>77000</v>
      </c>
      <c r="E6" s="9">
        <f t="shared" si="2"/>
        <v>0.0987012987</v>
      </c>
    </row>
    <row r="7">
      <c r="A7" s="5" t="str">
        <f t="shared" si="1"/>
        <v>2026-W19</v>
      </c>
      <c r="B7" s="6">
        <v>46146.0</v>
      </c>
      <c r="C7" s="7">
        <v>70400.0</v>
      </c>
      <c r="D7" s="8">
        <f t="shared" si="3"/>
        <v>84600</v>
      </c>
      <c r="E7" s="9">
        <f t="shared" si="2"/>
        <v>-0.1678486998</v>
      </c>
    </row>
    <row r="8">
      <c r="A8" s="5" t="str">
        <f t="shared" si="1"/>
        <v>2026-W20</v>
      </c>
      <c r="B8" s="6">
        <v>46153.0</v>
      </c>
      <c r="C8" s="7">
        <v>94300.0</v>
      </c>
      <c r="D8" s="8">
        <f t="shared" si="3"/>
        <v>70400</v>
      </c>
      <c r="E8" s="9">
        <f t="shared" si="2"/>
        <v>0.3394886364</v>
      </c>
    </row>
    <row r="9">
      <c r="A9" s="5" t="str">
        <f t="shared" si="1"/>
        <v>2026-W21</v>
      </c>
      <c r="B9" s="6">
        <v>46160.0</v>
      </c>
      <c r="C9" s="7">
        <v>92500.0</v>
      </c>
      <c r="D9" s="8">
        <f t="shared" si="3"/>
        <v>94300</v>
      </c>
      <c r="E9" s="9">
        <f t="shared" si="2"/>
        <v>-0.01908801697</v>
      </c>
    </row>
    <row r="10">
      <c r="A10" s="5" t="str">
        <f t="shared" si="1"/>
        <v>2026-W22</v>
      </c>
      <c r="B10" s="6">
        <v>46167.0</v>
      </c>
      <c r="C10" s="7">
        <v>87000.0</v>
      </c>
      <c r="D10" s="8">
        <f t="shared" si="3"/>
        <v>92500</v>
      </c>
      <c r="E10" s="9">
        <f t="shared" si="2"/>
        <v>-0.05945945946</v>
      </c>
    </row>
    <row r="11">
      <c r="A11" s="5" t="str">
        <f t="shared" si="1"/>
        <v>2026-W23</v>
      </c>
      <c r="B11" s="6">
        <v>46174.0</v>
      </c>
      <c r="C11" s="7">
        <v>72000.0</v>
      </c>
      <c r="D11" s="8">
        <f t="shared" si="3"/>
        <v>87000</v>
      </c>
      <c r="E11" s="9">
        <f t="shared" si="2"/>
        <v>-0.1724137931</v>
      </c>
    </row>
    <row r="12">
      <c r="A12" s="5" t="str">
        <f t="shared" si="1"/>
        <v>2026-W24</v>
      </c>
      <c r="B12" s="6">
        <v>46181.0</v>
      </c>
      <c r="C12" s="7">
        <v>61300.0</v>
      </c>
      <c r="D12" s="8">
        <f t="shared" si="3"/>
        <v>72000</v>
      </c>
      <c r="E12" s="9">
        <f t="shared" si="2"/>
        <v>-0.1486111111</v>
      </c>
    </row>
    <row r="13">
      <c r="A13" s="5" t="str">
        <f t="shared" si="1"/>
        <v>2026-W25</v>
      </c>
      <c r="B13" s="6">
        <v>46188.0</v>
      </c>
      <c r="C13" s="7">
        <v>77200.0</v>
      </c>
      <c r="D13" s="8">
        <f t="shared" si="3"/>
        <v>61300</v>
      </c>
      <c r="E13" s="9">
        <f t="shared" si="2"/>
        <v>0.2593800979</v>
      </c>
    </row>
    <row r="14">
      <c r="A14" s="5" t="str">
        <f t="shared" si="1"/>
        <v>2026-W26</v>
      </c>
      <c r="B14" s="6">
        <v>46195.0</v>
      </c>
      <c r="C14" s="7">
        <v>112300.0</v>
      </c>
      <c r="D14" s="8">
        <f t="shared" si="3"/>
        <v>77200</v>
      </c>
      <c r="E14" s="9">
        <f t="shared" si="2"/>
        <v>0.4546632124</v>
      </c>
    </row>
    <row r="15">
      <c r="A15" s="5" t="str">
        <f t="shared" si="1"/>
        <v>2026-W27</v>
      </c>
      <c r="B15" s="6">
        <v>46202.0</v>
      </c>
      <c r="C15" s="7">
        <v>79100.0</v>
      </c>
      <c r="D15" s="8">
        <f t="shared" si="3"/>
        <v>112300</v>
      </c>
      <c r="E15" s="9">
        <f t="shared" si="2"/>
        <v>-0.2956366874</v>
      </c>
    </row>
  </sheetData>
  <mergeCells count="1">
    <mergeCell ref="A1:E1"/>
  </mergeCells>
  <conditionalFormatting sqref="E3:E15">
    <cfRule type="cellIs" dxfId="0" priority="1" operator="lessThan">
      <formula>"0%"</formula>
    </cfRule>
  </conditionalFormatting>
  <conditionalFormatting sqref="E3:E15">
    <cfRule type="cellIs" dxfId="1" priority="2" operator="equal">
      <formula>"0%"</formula>
    </cfRule>
  </conditionalFormatting>
  <conditionalFormatting sqref="E3:E15">
    <cfRule type="cellIs" dxfId="2" priority="3" operator="greaterThan">
      <formula>"0%"</formula>
    </cfRule>
  </conditionalFormatting>
  <drawing r:id="rId1"/>
</worksheet>
</file>