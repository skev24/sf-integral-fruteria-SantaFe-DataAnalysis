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<sst xmlns="http://schemas.openxmlformats.org/spreadsheetml/2006/main" count="5" uniqueCount="5">
  <si>
    <t>Semana</t>
  </si>
  <si>
    <t>Fecha</t>
  </si>
  <si>
    <t>Total Ingreso</t>
  </si>
  <si>
    <t>Total Ingreso Semana Previa</t>
  </si>
  <si>
    <t>Porcentaje Semana vs Semana  Previa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</si>
</sst>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1" numFmtId="4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0" fillId="2" fontId="1" numFmtId="10" xfId="0" applyAlignment="1" applyFill="1" applyFont="1" applyNumberFormat="1">
      <alignment horizontal="center" vertical="bottom"/>
    </xf>
    <xf borderId="0" fillId="3" fontId="1" numFmtId="10" xfId="0" applyAlignment="1" applyFill="1" applyFont="1" applyNumberFormat="1">
      <alignment horizontal="center" vertical="bottom"/>
    </xf>
    <xf borderId="0" fillId="4" fontId="1" numFmtId="164" xfId="0" applyAlignment="1" applyFill="1" applyFont="1" applyNumberFormat="1">
      <alignment horizontal="center" vertical="bottom"/>
    </xf>
    <xf borderId="0" fillId="0" fontId="1" numFmtId="4" xfId="0" applyAlignment="1" applyFont="1" applyNumberFormat="1">
      <alignment horizontal="center" readingOrder="0" vertical="bottom"/>
    </xf>
    <xf borderId="0" fillId="0" fontId="1" numFmtId="4" xfId="0" applyAlignment="1" applyFont="1" applyNumberFormat="1">
      <alignment vertical="bottom"/>
    </xf>
    <xf borderId="0" fillId="0" fontId="1" numFmtId="10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4.5"/>
    <col customWidth="1" min="3" max="3" width="25.75"/>
    <col customWidth="1" min="4" max="4" width="26.88"/>
    <col customWidth="1" min="5" max="5" width="3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tr">
        <f t="shared" ref="A2:A12" si="1">YEAR(B2)&amp;"-W"&amp;TEXT(ISOWEEKNUM(B2),"00")</f>
        <v>2026-W04</v>
      </c>
      <c r="B2" s="2">
        <v>46041.0</v>
      </c>
      <c r="C2" s="3">
        <v>92500.0</v>
      </c>
      <c r="D2" s="3">
        <v>0.0</v>
      </c>
      <c r="E2" s="4" t="str">
        <f t="shared" ref="E2:E12" si="2">IF(D2=0, "", (C2 - D2) / D2)</f>
        <v/>
      </c>
    </row>
    <row r="3">
      <c r="A3" s="2" t="str">
        <f t="shared" si="1"/>
        <v>2026-W05</v>
      </c>
      <c r="B3" s="2">
        <v>46048.0</v>
      </c>
      <c r="C3" s="3">
        <v>111400.0</v>
      </c>
      <c r="D3" s="3">
        <v>92500.0</v>
      </c>
      <c r="E3" s="5">
        <f t="shared" si="2"/>
        <v>0.2043243243</v>
      </c>
    </row>
    <row r="4">
      <c r="A4" s="2" t="str">
        <f t="shared" si="1"/>
        <v>2026-W06</v>
      </c>
      <c r="B4" s="2">
        <v>46055.0</v>
      </c>
      <c r="C4" s="3">
        <v>122100.0</v>
      </c>
      <c r="D4" s="3">
        <v>111400.0</v>
      </c>
      <c r="E4" s="5">
        <f t="shared" si="2"/>
        <v>0.0960502693</v>
      </c>
    </row>
    <row r="5">
      <c r="A5" s="2" t="str">
        <f t="shared" si="1"/>
        <v>2026-W07</v>
      </c>
      <c r="B5" s="2">
        <v>46062.0</v>
      </c>
      <c r="C5" s="3">
        <v>87900.0</v>
      </c>
      <c r="D5" s="3">
        <v>122100.0</v>
      </c>
      <c r="E5" s="6">
        <f t="shared" si="2"/>
        <v>-0.2800982801</v>
      </c>
    </row>
    <row r="6">
      <c r="A6" s="2" t="str">
        <f t="shared" si="1"/>
        <v>2026-W08</v>
      </c>
      <c r="B6" s="2">
        <v>46069.0</v>
      </c>
      <c r="C6" s="3">
        <v>85900.0</v>
      </c>
      <c r="D6" s="3">
        <v>87900.0</v>
      </c>
      <c r="E6" s="6">
        <f t="shared" si="2"/>
        <v>-0.02275312856</v>
      </c>
    </row>
    <row r="7">
      <c r="A7" s="2" t="str">
        <f t="shared" si="1"/>
        <v>2026-W09</v>
      </c>
      <c r="B7" s="2">
        <v>46076.0</v>
      </c>
      <c r="C7" s="3">
        <v>94200.0</v>
      </c>
      <c r="D7" s="3">
        <v>85900.0</v>
      </c>
      <c r="E7" s="5">
        <f t="shared" si="2"/>
        <v>0.09662398137</v>
      </c>
    </row>
    <row r="8">
      <c r="A8" s="2" t="str">
        <f t="shared" si="1"/>
        <v>2026-W10</v>
      </c>
      <c r="B8" s="2">
        <v>46083.0</v>
      </c>
      <c r="C8" s="3">
        <v>120600.0</v>
      </c>
      <c r="D8" s="3">
        <v>94200.0</v>
      </c>
      <c r="E8" s="5">
        <f t="shared" si="2"/>
        <v>0.2802547771</v>
      </c>
    </row>
    <row r="9">
      <c r="A9" s="2" t="str">
        <f t="shared" si="1"/>
        <v>2026-W11</v>
      </c>
      <c r="B9" s="2">
        <v>46090.0</v>
      </c>
      <c r="C9" s="3">
        <v>89300.0</v>
      </c>
      <c r="D9" s="3">
        <v>120600.0</v>
      </c>
      <c r="E9" s="6">
        <f t="shared" si="2"/>
        <v>-0.2595356551</v>
      </c>
    </row>
    <row r="10">
      <c r="A10" s="2" t="str">
        <f t="shared" si="1"/>
        <v>2026-W12</v>
      </c>
      <c r="B10" s="2">
        <v>46097.0</v>
      </c>
      <c r="C10" s="3">
        <v>157600.0</v>
      </c>
      <c r="D10" s="3">
        <v>89300.0</v>
      </c>
      <c r="E10" s="5">
        <f t="shared" si="2"/>
        <v>0.764837626</v>
      </c>
    </row>
    <row r="11">
      <c r="A11" s="2" t="str">
        <f t="shared" si="1"/>
        <v>2026-W13</v>
      </c>
      <c r="B11" s="2">
        <v>46104.0</v>
      </c>
      <c r="C11" s="3">
        <v>90100.0</v>
      </c>
      <c r="D11" s="3">
        <v>157600.0</v>
      </c>
      <c r="E11" s="6">
        <f t="shared" si="2"/>
        <v>-0.4282994924</v>
      </c>
    </row>
    <row r="12">
      <c r="A12" s="7" t="str">
        <f t="shared" si="1"/>
        <v>2026-W14</v>
      </c>
      <c r="B12" s="2">
        <v>46111.0</v>
      </c>
      <c r="C12" s="8">
        <v>71000.0</v>
      </c>
      <c r="D12" s="3">
        <v>90100.0</v>
      </c>
      <c r="E12" s="6">
        <f t="shared" si="2"/>
        <v>-0.2119866815</v>
      </c>
    </row>
    <row r="13">
      <c r="A13" s="2"/>
      <c r="B13" s="2"/>
      <c r="C13" s="9"/>
      <c r="D13" s="3"/>
      <c r="E13" s="10"/>
    </row>
  </sheetData>
  <drawing r:id="rId1"/>
</worksheet>
</file>